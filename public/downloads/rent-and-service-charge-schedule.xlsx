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w to use" state="visible" r:id="rId4"/>
    <sheet sheetId="2" name="Schedule" state="visible" r:id="rId5"/>
    <sheet sheetId="3" name="Reconciliation" state="visible" r:id="rId6"/>
    <sheet sheetId="4" name="IHM time record" state="visible" r:id="rId7"/>
  </sheets>
  <calcPr calcId="171027"/>
</workbook>
</file>

<file path=xl/sharedStrings.xml><?xml version="1.0" encoding="utf-8"?>
<sst xmlns="http://schemas.openxmlformats.org/spreadsheetml/2006/main" count="105" uniqueCount="75">
  <si>
    <t>Rent and service charge schedule</t>
  </si>
  <si>
    <t>1. Fill in the scheme details at the top of the Schedule sheet, including the number of bed spaces.</t>
  </si>
  <si>
    <t>2. Enter the annual cost of each line and say how it is calculated. Replace the example lines with your own.</t>
  </si>
  <si>
    <t>3. Set the type of each line: Eligible, Ineligible or Depends. Depends means the line is only eligible if your evidence supports it, such as intensive housing management backed by time records.</t>
  </si>
  <si>
    <t>4. The sheet works out the weekly charge per resident and the totals by type. Housing Benefit can only cover Eligible lines and the Depends lines you can evidence.</t>
  </si>
  <si>
    <t>5. Keep support, counselling and personal care out of the rent. Housing Benefit never pays for them.</t>
  </si>
  <si>
    <t>6. At the end of each year, fill in the Reconciliation sheet to compare what you charged with what you spent.</t>
  </si>
  <si>
    <t>7. Use the IHM time record for any staff whose time is split between housing management and support.</t>
  </si>
  <si>
    <t>Free template from exemptaccommodation.com. Guidance covers England and is general information, not legal advice.</t>
  </si>
  <si>
    <t>Annual costs in, weekly charge per resident out. Type: Eligible, Ineligible or Depends.</t>
  </si>
  <si>
    <t>Scheme</t>
  </si>
  <si>
    <t/>
  </si>
  <si>
    <t>Landlord</t>
  </si>
  <si>
    <t>Charging period (from and to)</t>
  </si>
  <si>
    <t>Number of bed spaces</t>
  </si>
  <si>
    <t>Prepared by and date</t>
  </si>
  <si>
    <t>Charge</t>
  </si>
  <si>
    <t>Type</t>
  </si>
  <si>
    <t>How it is calculated</t>
  </si>
  <si>
    <t>Annual cost (£)</t>
  </si>
  <si>
    <t>Weekly per resident (£)</t>
  </si>
  <si>
    <t>Evidence held</t>
  </si>
  <si>
    <t>Core rent: lease or loan payments</t>
  </si>
  <si>
    <t>Eligible</t>
  </si>
  <si>
    <t>Annual lease rent from the lease schedule</t>
  </si>
  <si>
    <t>Core rent: buildings insurance</t>
  </si>
  <si>
    <t>Current policy premium</t>
  </si>
  <si>
    <t>Core rent: major repairs and replacements provision</t>
  </si>
  <si>
    <t>Planned maintenance programme</t>
  </si>
  <si>
    <t>Core rent: voids and bad debts allowance</t>
  </si>
  <si>
    <t>Percentage of rent, based on last year</t>
  </si>
  <si>
    <t>Core rent: general housing management</t>
  </si>
  <si>
    <t>Share of housing staff and overheads</t>
  </si>
  <si>
    <t>Cleaning of communal areas</t>
  </si>
  <si>
    <t>Contract price or staff time</t>
  </si>
  <si>
    <t>Heating, lighting and hot water in communal areas</t>
  </si>
  <si>
    <t>Share of bills for shared areas only</t>
  </si>
  <si>
    <t>Furniture and household equipment</t>
  </si>
  <si>
    <t>Replacement cost spread over expected life</t>
  </si>
  <si>
    <t>Communal TV aerial, door entry and laundry facilities</t>
  </si>
  <si>
    <t>Maintenance contracts</t>
  </si>
  <si>
    <t>Grounds maintenance and communal window cleaning</t>
  </si>
  <si>
    <t>Contract price</t>
  </si>
  <si>
    <t>Intensive housing management</t>
  </si>
  <si>
    <t>Depends</t>
  </si>
  <si>
    <t>Time records, separate from support</t>
  </si>
  <si>
    <t>Fuel for the resident's own room</t>
  </si>
  <si>
    <t>Ineligible</t>
  </si>
  <si>
    <t>Metered or estimated share</t>
  </si>
  <si>
    <t>Water charges</t>
  </si>
  <si>
    <t>Water bill</t>
  </si>
  <si>
    <t>Meals</t>
  </si>
  <si>
    <t>Not provided</t>
  </si>
  <si>
    <t>Support, counselling or key work</t>
  </si>
  <si>
    <t>Funded by commissioner or provider</t>
  </si>
  <si>
    <t>Total eligible</t>
  </si>
  <si>
    <t>Total depends on evidence</t>
  </si>
  <si>
    <t>Total ineligible</t>
  </si>
  <si>
    <t>Total weekly charge per resident</t>
  </si>
  <si>
    <t>Service charge reconciliation</t>
  </si>
  <si>
    <t>Compare what you charged last year with what you spent. Explain any big difference.</t>
  </si>
  <si>
    <t>Charged (£)</t>
  </si>
  <si>
    <t>Actual spend (£)</t>
  </si>
  <si>
    <t>Difference (£)</t>
  </si>
  <si>
    <t>Explanation</t>
  </si>
  <si>
    <t>Intensive housing management time record</t>
  </si>
  <si>
    <t>Housing management counts towards the rent. Support does not. Record both so you can show the split.</t>
  </si>
  <si>
    <t>Date</t>
  </si>
  <si>
    <t>Staff member</t>
  </si>
  <si>
    <t>Housing management task</t>
  </si>
  <si>
    <t>Minutes</t>
  </si>
  <si>
    <t>Support task (not in the rent)</t>
  </si>
  <si>
    <t>Property or room</t>
  </si>
  <si>
    <t>Total minutes</t>
  </si>
  <si>
    <t>Share of time that is housing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</si>
</sst>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£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14304F"/>
      <sz val="16"/>
    </font>
    <font>
      <i/>
      <color rgb="FF5B6B80"/>
    </font>
    <font>
      <b/>
    </font>
    <font>
      <b/>
      <color rgb="FFFFFFFF"/>
    </font>
    <font>
      <b/>
      <color rgb="FF0E7A76"/>
    </font>
  </fonts>
  <fills count="3">
    <fill>
      <patternFill patternType="none"/>
    </fill>
    <fill>
      <patternFill patternType="gray125"/>
    </fill>
    <fill>
      <patternFill patternType="solid">
        <fgColor rgb="FF14304F"/>
      </patternFill>
    </fill>
  </fills>
  <borders count="2">
    <border>
      <left/>
      <right/>
      <top/>
      <bottom/>
      <diagonal/>
    </border>
    <border>
      <left style="thin">
        <color rgb="FFC9CFD8"/>
      </left>
      <right style="thin">
        <color rgb="FFC9CFD8"/>
      </right>
      <top style="thin">
        <color rgb="FFC9CFD8"/>
      </top>
      <bottom style="thin">
        <color rgb="FFC9CFD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 applyAlignment="1"/>
    <xf numFmtId="0" fontId="3" fillId="0" borderId="0" xfId="0" applyFont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164" fontId="0" fillId="0" borderId="1" xfId="0" applyNumberFormat="1" applyBorder="1"/>
    <xf numFmtId="164" fontId="0" fillId="0" borderId="1" xfId="0" applyNumberFormat="1" applyBorder="1" applyAlignment="1">
      <alignment vertical="top" wrapText="1"/>
    </xf>
    <xf numFmtId="0" fontId="0" fillId="0" borderId="1" xfId="0" applyBorder="1"/>
    <xf numFmtId="164" fontId="0" fillId="0" borderId="0" xfId="0" applyNumberFormat="1" applyAlignment="1">
      <alignment vertical="top" wrapText="1"/>
    </xf>
    <xf numFmtId="0" fontId="5" fillId="0" borderId="0" xfId="0" applyFont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165" fontId="0" fillId="0" borderId="1" xfId="0" applyNumberFormat="1" applyBorder="1"/>
    <xf numFmtId="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29994"/>
    <pageSetUpPr fitToPage="1"/>
  </sheetPr>
  <dimension ref="A1:A12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2" spans="1:1" x14ac:dyDescent="0.25">
      <c r="A12" s="3" t="s">
        <v>8</v>
      </c>
    </row>
  </sheetData>
  <pageMargins left="0.5" right="0.5" top="0.6" bottom="0.6" header="0.3" footer="0.3"/>
  <pageSetup paperSize="9" orientation="landscape" fitToWidth="1" fitToHeight="0"/>
  <headerFooter>
    <oddFooter>&amp;L&amp;8Free template from exemptaccommodation.com&amp;R&amp;8Page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1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14" customWidth="1"/>
    <col min="3" max="3" width="46" customWidth="1"/>
    <col min="4" max="4" width="16" customWidth="1"/>
    <col min="5" max="5" width="18" customWidth="1"/>
    <col min="6" max="6" width="36" customWidth="1"/>
  </cols>
  <sheetData>
    <row r="1" spans="1:1" x14ac:dyDescent="0.25">
      <c r="A1" s="4" t="s">
        <v>0</v>
      </c>
    </row>
    <row r="2" spans="1:1" x14ac:dyDescent="0.25">
      <c r="A2" s="5" t="s">
        <v>9</v>
      </c>
    </row>
    <row r="3" spans="1:2" x14ac:dyDescent="0.25">
      <c r="A3" s="6" t="s">
        <v>10</v>
      </c>
      <c r="B3" s="7" t="s">
        <v>11</v>
      </c>
    </row>
    <row r="4" spans="1:2" x14ac:dyDescent="0.25">
      <c r="A4" s="6" t="s">
        <v>12</v>
      </c>
      <c r="B4" s="7" t="s">
        <v>11</v>
      </c>
    </row>
    <row r="5" spans="1:2" x14ac:dyDescent="0.25">
      <c r="A5" s="6" t="s">
        <v>13</v>
      </c>
      <c r="B5" s="7" t="s">
        <v>11</v>
      </c>
    </row>
    <row r="6" spans="1:2" x14ac:dyDescent="0.25">
      <c r="A6" s="6" t="s">
        <v>14</v>
      </c>
      <c r="B6" s="7">
        <v>6</v>
      </c>
    </row>
    <row r="7" spans="1:2" x14ac:dyDescent="0.25">
      <c r="A7" s="6" t="s">
        <v>15</v>
      </c>
      <c r="B7" s="7" t="s">
        <v>11</v>
      </c>
    </row>
    <row r="9" ht="32" customHeight="1" spans="1:6" x14ac:dyDescent="0.25">
      <c r="A9" s="8" t="s">
        <v>16</v>
      </c>
      <c r="B9" s="8" t="s">
        <v>17</v>
      </c>
      <c r="C9" s="8" t="s">
        <v>18</v>
      </c>
      <c r="D9" s="8" t="s">
        <v>19</v>
      </c>
      <c r="E9" s="8" t="s">
        <v>20</v>
      </c>
      <c r="F9" s="8" t="s">
        <v>21</v>
      </c>
    </row>
    <row r="10" spans="1:6" x14ac:dyDescent="0.25">
      <c r="A10" s="7" t="s">
        <v>22</v>
      </c>
      <c r="B10" s="7" t="s">
        <v>23</v>
      </c>
      <c r="C10" s="7" t="s">
        <v>24</v>
      </c>
      <c r="D10" s="9"/>
      <c r="E10" s="10">
        <f>IF(OR(D10="",$B$6=0),"",D10/52/$B$6)</f>
      </c>
      <c r="F10" s="11"/>
    </row>
    <row r="11" spans="1:6" x14ac:dyDescent="0.25">
      <c r="A11" s="7" t="s">
        <v>25</v>
      </c>
      <c r="B11" s="7" t="s">
        <v>23</v>
      </c>
      <c r="C11" s="7" t="s">
        <v>26</v>
      </c>
      <c r="D11" s="9"/>
      <c r="E11" s="10">
        <f>IF(OR(D11="",$B$6=0),"",D11/52/$B$6)</f>
      </c>
      <c r="F11" s="11"/>
    </row>
    <row r="12" spans="1:6" x14ac:dyDescent="0.25">
      <c r="A12" s="7" t="s">
        <v>27</v>
      </c>
      <c r="B12" s="7" t="s">
        <v>23</v>
      </c>
      <c r="C12" s="7" t="s">
        <v>28</v>
      </c>
      <c r="D12" s="9"/>
      <c r="E12" s="10">
        <f>IF(OR(D12="",$B$6=0),"",D12/52/$B$6)</f>
      </c>
      <c r="F12" s="11"/>
    </row>
    <row r="13" spans="1:6" x14ac:dyDescent="0.25">
      <c r="A13" s="7" t="s">
        <v>29</v>
      </c>
      <c r="B13" s="7" t="s">
        <v>23</v>
      </c>
      <c r="C13" s="7" t="s">
        <v>30</v>
      </c>
      <c r="D13" s="9"/>
      <c r="E13" s="10">
        <f>IF(OR(D13="",$B$6=0),"",D13/52/$B$6)</f>
      </c>
      <c r="F13" s="11"/>
    </row>
    <row r="14" spans="1:6" x14ac:dyDescent="0.25">
      <c r="A14" s="7" t="s">
        <v>31</v>
      </c>
      <c r="B14" s="7" t="s">
        <v>23</v>
      </c>
      <c r="C14" s="7" t="s">
        <v>32</v>
      </c>
      <c r="D14" s="9"/>
      <c r="E14" s="10">
        <f>IF(OR(D14="",$B$6=0),"",D14/52/$B$6)</f>
      </c>
      <c r="F14" s="11"/>
    </row>
    <row r="15" spans="1:6" x14ac:dyDescent="0.25">
      <c r="A15" s="7" t="s">
        <v>33</v>
      </c>
      <c r="B15" s="7" t="s">
        <v>23</v>
      </c>
      <c r="C15" s="7" t="s">
        <v>34</v>
      </c>
      <c r="D15" s="9"/>
      <c r="E15" s="10">
        <f>IF(OR(D15="",$B$6=0),"",D15/52/$B$6)</f>
      </c>
      <c r="F15" s="11"/>
    </row>
    <row r="16" spans="1:6" x14ac:dyDescent="0.25">
      <c r="A16" s="7" t="s">
        <v>35</v>
      </c>
      <c r="B16" s="7" t="s">
        <v>23</v>
      </c>
      <c r="C16" s="7" t="s">
        <v>36</v>
      </c>
      <c r="D16" s="9"/>
      <c r="E16" s="10">
        <f>IF(OR(D16="",$B$6=0),"",D16/52/$B$6)</f>
      </c>
      <c r="F16" s="11"/>
    </row>
    <row r="17" spans="1:6" x14ac:dyDescent="0.25">
      <c r="A17" s="7" t="s">
        <v>37</v>
      </c>
      <c r="B17" s="7" t="s">
        <v>23</v>
      </c>
      <c r="C17" s="7" t="s">
        <v>38</v>
      </c>
      <c r="D17" s="9"/>
      <c r="E17" s="10">
        <f>IF(OR(D17="",$B$6=0),"",D17/52/$B$6)</f>
      </c>
      <c r="F17" s="11"/>
    </row>
    <row r="18" spans="1:6" x14ac:dyDescent="0.25">
      <c r="A18" s="7" t="s">
        <v>39</v>
      </c>
      <c r="B18" s="7" t="s">
        <v>23</v>
      </c>
      <c r="C18" s="7" t="s">
        <v>40</v>
      </c>
      <c r="D18" s="9"/>
      <c r="E18" s="10">
        <f>IF(OR(D18="",$B$6=0),"",D18/52/$B$6)</f>
      </c>
      <c r="F18" s="11"/>
    </row>
    <row r="19" spans="1:6" x14ac:dyDescent="0.25">
      <c r="A19" s="7" t="s">
        <v>41</v>
      </c>
      <c r="B19" s="7" t="s">
        <v>23</v>
      </c>
      <c r="C19" s="7" t="s">
        <v>42</v>
      </c>
      <c r="D19" s="9"/>
      <c r="E19" s="10">
        <f>IF(OR(D19="",$B$6=0),"",D19/52/$B$6)</f>
      </c>
      <c r="F19" s="11"/>
    </row>
    <row r="20" spans="1:6" x14ac:dyDescent="0.25">
      <c r="A20" s="7" t="s">
        <v>43</v>
      </c>
      <c r="B20" s="7" t="s">
        <v>44</v>
      </c>
      <c r="C20" s="7" t="s">
        <v>45</v>
      </c>
      <c r="D20" s="9"/>
      <c r="E20" s="10">
        <f>IF(OR(D20="",$B$6=0),"",D20/52/$B$6)</f>
      </c>
      <c r="F20" s="11"/>
    </row>
    <row r="21" spans="1:6" x14ac:dyDescent="0.25">
      <c r="A21" s="7" t="s">
        <v>46</v>
      </c>
      <c r="B21" s="7" t="s">
        <v>47</v>
      </c>
      <c r="C21" s="7" t="s">
        <v>48</v>
      </c>
      <c r="D21" s="9"/>
      <c r="E21" s="10">
        <f>IF(OR(D21="",$B$6=0),"",D21/52/$B$6)</f>
      </c>
      <c r="F21" s="11"/>
    </row>
    <row r="22" spans="1:6" x14ac:dyDescent="0.25">
      <c r="A22" s="7" t="s">
        <v>49</v>
      </c>
      <c r="B22" s="7" t="s">
        <v>47</v>
      </c>
      <c r="C22" s="7" t="s">
        <v>50</v>
      </c>
      <c r="D22" s="9"/>
      <c r="E22" s="10">
        <f>IF(OR(D22="",$B$6=0),"",D22/52/$B$6)</f>
      </c>
      <c r="F22" s="11"/>
    </row>
    <row r="23" spans="1:6" x14ac:dyDescent="0.25">
      <c r="A23" s="7" t="s">
        <v>51</v>
      </c>
      <c r="B23" s="7" t="s">
        <v>47</v>
      </c>
      <c r="C23" s="7" t="s">
        <v>52</v>
      </c>
      <c r="D23" s="9"/>
      <c r="E23" s="10">
        <f>IF(OR(D23="",$B$6=0),"",D23/52/$B$6)</f>
      </c>
      <c r="F23" s="11"/>
    </row>
    <row r="24" spans="1:6" x14ac:dyDescent="0.25">
      <c r="A24" s="7" t="s">
        <v>53</v>
      </c>
      <c r="B24" s="7" t="s">
        <v>47</v>
      </c>
      <c r="C24" s="7" t="s">
        <v>54</v>
      </c>
      <c r="D24" s="9"/>
      <c r="E24" s="10">
        <f>IF(OR(D24="",$B$6=0),"",D24/52/$B$6)</f>
      </c>
      <c r="F24" s="11"/>
    </row>
    <row r="25" spans="1:6" x14ac:dyDescent="0.25">
      <c r="A25" s="7" t="s">
        <v>11</v>
      </c>
      <c r="B25" s="7" t="s">
        <v>11</v>
      </c>
      <c r="C25" s="7" t="s">
        <v>11</v>
      </c>
      <c r="D25" s="9"/>
      <c r="E25" s="10">
        <f>IF(OR(D25="",$B$6=0),"",D25/52/$B$6)</f>
      </c>
      <c r="F25" s="11"/>
    </row>
    <row r="26" spans="1:6" x14ac:dyDescent="0.25">
      <c r="A26" s="7" t="s">
        <v>11</v>
      </c>
      <c r="B26" s="7" t="s">
        <v>11</v>
      </c>
      <c r="C26" s="7" t="s">
        <v>11</v>
      </c>
      <c r="D26" s="9"/>
      <c r="E26" s="10">
        <f>IF(OR(D26="",$B$6=0),"",D26/52/$B$6)</f>
      </c>
      <c r="F26" s="11"/>
    </row>
    <row r="28" spans="3:5" x14ac:dyDescent="0.25">
      <c r="C28" s="6" t="s">
        <v>55</v>
      </c>
      <c r="D28" s="12">
        <f>SUMIF($B$10:$B$26,"Eligible",$D$10:$D$26)</f>
      </c>
      <c r="E28" s="12">
        <f>IF($B$6=0,"",D28/52/$B$6)</f>
      </c>
    </row>
    <row r="29" spans="3:5" x14ac:dyDescent="0.25">
      <c r="C29" s="6" t="s">
        <v>56</v>
      </c>
      <c r="D29" s="12">
        <f>SUMIF($B$10:$B$26,"Depends",$D$10:$D$26)</f>
      </c>
      <c r="E29" s="12">
        <f>IF($B$6=0,"",D29/52/$B$6)</f>
      </c>
    </row>
    <row r="30" spans="3:5" x14ac:dyDescent="0.25">
      <c r="C30" s="6" t="s">
        <v>57</v>
      </c>
      <c r="D30" s="12">
        <f>SUMIF($B$10:$B$26,"Ineligible",$D$10:$D$26)</f>
      </c>
      <c r="E30" s="12">
        <f>IF($B$6=0,"",D30/52/$B$6)</f>
      </c>
    </row>
    <row r="31" spans="3:5" x14ac:dyDescent="0.25">
      <c r="C31" s="13" t="s">
        <v>58</v>
      </c>
      <c r="E31" s="14">
        <f>IF($B$6=0,"",SUM($D$10:$D$26)/52/$B$6)</f>
      </c>
    </row>
  </sheetData>
  <dataValidations count="1">
    <dataValidation type="list" allowBlank="1" sqref="B10:B26">
      <formula1>"Eligible,Ineligible,Depends"</formula1>
    </dataValidation>
  </dataValidations>
  <pageMargins left="0.5" right="0.5" top="0.6" bottom="0.6" header="0.3" footer="0.3"/>
  <pageSetup paperSize="9" orientation="landscape" fitToWidth="1" fitToHeight="0"/>
  <headerFooter>
    <oddFooter>&amp;L&amp;8Free template from exemptaccommodation.com&amp;R&amp;8Page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"/>
  <sheetFormatPr defaultRowHeight="15" outlineLevelRow="0" outlineLevelCol="0" x14ac:dyDescent="55"/>
  <cols>
    <col min="1" max="1" width="44" customWidth="1"/>
    <col min="2" max="3" width="18" customWidth="1"/>
    <col min="4" max="4" width="16" customWidth="1"/>
    <col min="5" max="5" width="50" customWidth="1"/>
  </cols>
  <sheetData>
    <row r="1" spans="1:1" x14ac:dyDescent="0.25">
      <c r="A1" s="4" t="s">
        <v>59</v>
      </c>
    </row>
    <row r="2" spans="1:1" x14ac:dyDescent="0.25">
      <c r="A2" s="5" t="s">
        <v>60</v>
      </c>
    </row>
    <row r="4" ht="32" customHeight="1" spans="1:5" x14ac:dyDescent="0.25">
      <c r="A4" s="8" t="s">
        <v>16</v>
      </c>
      <c r="B4" s="8" t="s">
        <v>61</v>
      </c>
      <c r="C4" s="8" t="s">
        <v>62</v>
      </c>
      <c r="D4" s="8" t="s">
        <v>63</v>
      </c>
      <c r="E4" s="8" t="s">
        <v>64</v>
      </c>
    </row>
    <row r="5" spans="1:5" x14ac:dyDescent="0.25">
      <c r="A5" s="7" t="s">
        <v>33</v>
      </c>
      <c r="B5" s="9"/>
      <c r="C5" s="9"/>
      <c r="D5" s="10">
        <f>IF(AND(B5="",C5=""),"",B5-C5)</f>
      </c>
      <c r="E5" s="11"/>
    </row>
    <row r="6" spans="1:5" x14ac:dyDescent="0.25">
      <c r="A6" s="7" t="s">
        <v>35</v>
      </c>
      <c r="B6" s="9"/>
      <c r="C6" s="9"/>
      <c r="D6" s="10">
        <f>IF(AND(B6="",C6=""),"",B6-C6)</f>
      </c>
      <c r="E6" s="11"/>
    </row>
    <row r="7" spans="1:5" x14ac:dyDescent="0.25">
      <c r="A7" s="7" t="s">
        <v>37</v>
      </c>
      <c r="B7" s="9"/>
      <c r="C7" s="9"/>
      <c r="D7" s="10">
        <f>IF(AND(B7="",C7=""),"",B7-C7)</f>
      </c>
      <c r="E7" s="11"/>
    </row>
    <row r="8" spans="1:5" x14ac:dyDescent="0.25">
      <c r="A8" s="7" t="s">
        <v>39</v>
      </c>
      <c r="B8" s="9"/>
      <c r="C8" s="9"/>
      <c r="D8" s="10">
        <f>IF(AND(B8="",C8=""),"",B8-C8)</f>
      </c>
      <c r="E8" s="11"/>
    </row>
    <row r="9" spans="1:5" x14ac:dyDescent="0.25">
      <c r="A9" s="7" t="s">
        <v>41</v>
      </c>
      <c r="B9" s="9"/>
      <c r="C9" s="9"/>
      <c r="D9" s="10">
        <f>IF(AND(B9="",C9=""),"",B9-C9)</f>
      </c>
      <c r="E9" s="11"/>
    </row>
    <row r="10" spans="1:5" x14ac:dyDescent="0.25">
      <c r="A10" s="7" t="s">
        <v>43</v>
      </c>
      <c r="B10" s="9"/>
      <c r="C10" s="9"/>
      <c r="D10" s="10">
        <f>IF(AND(B10="",C10=""),"",B10-C10)</f>
      </c>
      <c r="E10" s="11"/>
    </row>
  </sheetData>
  <pageMargins left="0.5" right="0.5" top="0.6" bottom="0.6" header="0.3" footer="0.3"/>
  <pageSetup paperSize="9" orientation="landscape" fitToWidth="1" fitToHeight="0"/>
  <headerFooter>
    <oddFooter>&amp;L&amp;8Free template from exemptaccommodation.com&amp;R&amp;8Page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7"/>
  <sheetFormatPr defaultRowHeight="15" outlineLevelRow="0" outlineLevelCol="0" x14ac:dyDescent="55"/>
  <cols>
    <col min="1" max="1" width="14" customWidth="1"/>
    <col min="2" max="2" width="22" customWidth="1"/>
    <col min="3" max="3" width="44" customWidth="1"/>
    <col min="4" max="4" width="14" customWidth="1"/>
    <col min="5" max="5" width="44" customWidth="1"/>
    <col min="6" max="6" width="14" customWidth="1"/>
    <col min="7" max="7" width="18" customWidth="1"/>
  </cols>
  <sheetData>
    <row r="1" spans="1:1" x14ac:dyDescent="0.25">
      <c r="A1" s="4" t="s">
        <v>65</v>
      </c>
    </row>
    <row r="2" spans="1:1" x14ac:dyDescent="0.25">
      <c r="A2" s="5" t="s">
        <v>66</v>
      </c>
    </row>
    <row r="4" ht="32" customHeight="1" spans="1:7" x14ac:dyDescent="0.25">
      <c r="A4" s="8" t="s">
        <v>67</v>
      </c>
      <c r="B4" s="8" t="s">
        <v>68</v>
      </c>
      <c r="C4" s="8" t="s">
        <v>69</v>
      </c>
      <c r="D4" s="8" t="s">
        <v>70</v>
      </c>
      <c r="E4" s="8" t="s">
        <v>71</v>
      </c>
      <c r="F4" s="8" t="s">
        <v>70</v>
      </c>
      <c r="G4" s="8" t="s">
        <v>72</v>
      </c>
    </row>
    <row r="5" spans="1:7" x14ac:dyDescent="0.25">
      <c r="A5" s="15"/>
      <c r="B5" s="11"/>
      <c r="C5" s="11"/>
      <c r="D5" s="11"/>
      <c r="E5" s="11"/>
      <c r="F5" s="11"/>
      <c r="G5" s="11"/>
    </row>
    <row r="6" spans="1:7" x14ac:dyDescent="0.25">
      <c r="A6" s="15"/>
      <c r="B6" s="11"/>
      <c r="C6" s="11"/>
      <c r="D6" s="11"/>
      <c r="E6" s="11"/>
      <c r="F6" s="11"/>
      <c r="G6" s="11"/>
    </row>
    <row r="7" spans="1:7" x14ac:dyDescent="0.25">
      <c r="A7" s="15"/>
      <c r="B7" s="11"/>
      <c r="C7" s="11"/>
      <c r="D7" s="11"/>
      <c r="E7" s="11"/>
      <c r="F7" s="11"/>
      <c r="G7" s="11"/>
    </row>
    <row r="8" spans="1:7" x14ac:dyDescent="0.25">
      <c r="A8" s="15"/>
      <c r="B8" s="11"/>
      <c r="C8" s="11"/>
      <c r="D8" s="11"/>
      <c r="E8" s="11"/>
      <c r="F8" s="11"/>
      <c r="G8" s="11"/>
    </row>
    <row r="9" spans="1:7" x14ac:dyDescent="0.25">
      <c r="A9" s="15"/>
      <c r="B9" s="11"/>
      <c r="C9" s="11"/>
      <c r="D9" s="11"/>
      <c r="E9" s="11"/>
      <c r="F9" s="11"/>
      <c r="G9" s="11"/>
    </row>
    <row r="10" spans="1:7" x14ac:dyDescent="0.25">
      <c r="A10" s="15"/>
      <c r="B10" s="11"/>
      <c r="C10" s="11"/>
      <c r="D10" s="11"/>
      <c r="E10" s="11"/>
      <c r="F10" s="11"/>
      <c r="G10" s="11"/>
    </row>
    <row r="11" spans="1:7" x14ac:dyDescent="0.25">
      <c r="A11" s="15"/>
      <c r="B11" s="11"/>
      <c r="C11" s="11"/>
      <c r="D11" s="11"/>
      <c r="E11" s="11"/>
      <c r="F11" s="11"/>
      <c r="G11" s="11"/>
    </row>
    <row r="12" spans="1:7" x14ac:dyDescent="0.25">
      <c r="A12" s="15"/>
      <c r="B12" s="11"/>
      <c r="C12" s="11"/>
      <c r="D12" s="11"/>
      <c r="E12" s="11"/>
      <c r="F12" s="11"/>
      <c r="G12" s="11"/>
    </row>
    <row r="13" spans="1:7" x14ac:dyDescent="0.25">
      <c r="A13" s="15"/>
      <c r="B13" s="11"/>
      <c r="C13" s="11"/>
      <c r="D13" s="11"/>
      <c r="E13" s="11"/>
      <c r="F13" s="11"/>
      <c r="G13" s="11"/>
    </row>
    <row r="14" spans="1:7" x14ac:dyDescent="0.25">
      <c r="A14" s="15"/>
      <c r="B14" s="11"/>
      <c r="C14" s="11"/>
      <c r="D14" s="11"/>
      <c r="E14" s="11"/>
      <c r="F14" s="11"/>
      <c r="G14" s="11"/>
    </row>
    <row r="15" spans="1:7" x14ac:dyDescent="0.25">
      <c r="A15" s="15"/>
      <c r="B15" s="11"/>
      <c r="C15" s="11"/>
      <c r="D15" s="11"/>
      <c r="E15" s="11"/>
      <c r="F15" s="11"/>
      <c r="G15" s="11"/>
    </row>
    <row r="16" spans="1:7" x14ac:dyDescent="0.25">
      <c r="A16" s="15"/>
      <c r="B16" s="11"/>
      <c r="C16" s="11"/>
      <c r="D16" s="11"/>
      <c r="E16" s="11"/>
      <c r="F16" s="11"/>
      <c r="G16" s="11"/>
    </row>
    <row r="17" spans="1:7" x14ac:dyDescent="0.25">
      <c r="A17" s="15"/>
      <c r="B17" s="11"/>
      <c r="C17" s="11"/>
      <c r="D17" s="11"/>
      <c r="E17" s="11"/>
      <c r="F17" s="11"/>
      <c r="G17" s="11"/>
    </row>
    <row r="18" spans="1:7" x14ac:dyDescent="0.25">
      <c r="A18" s="15"/>
      <c r="B18" s="11"/>
      <c r="C18" s="11"/>
      <c r="D18" s="11"/>
      <c r="E18" s="11"/>
      <c r="F18" s="11"/>
      <c r="G18" s="11"/>
    </row>
    <row r="19" spans="1:7" x14ac:dyDescent="0.25">
      <c r="A19" s="15"/>
      <c r="B19" s="11"/>
      <c r="C19" s="11"/>
      <c r="D19" s="11"/>
      <c r="E19" s="11"/>
      <c r="F19" s="11"/>
      <c r="G19" s="11"/>
    </row>
    <row r="20" spans="1:7" x14ac:dyDescent="0.25">
      <c r="A20" s="15"/>
      <c r="B20" s="11"/>
      <c r="C20" s="11"/>
      <c r="D20" s="11"/>
      <c r="E20" s="11"/>
      <c r="F20" s="11"/>
      <c r="G20" s="11"/>
    </row>
    <row r="21" spans="1:7" x14ac:dyDescent="0.25">
      <c r="A21" s="15"/>
      <c r="B21" s="11"/>
      <c r="C21" s="11"/>
      <c r="D21" s="11"/>
      <c r="E21" s="11"/>
      <c r="F21" s="11"/>
      <c r="G21" s="11"/>
    </row>
    <row r="22" spans="1:7" x14ac:dyDescent="0.25">
      <c r="A22" s="15"/>
      <c r="B22" s="11"/>
      <c r="C22" s="11"/>
      <c r="D22" s="11"/>
      <c r="E22" s="11"/>
      <c r="F22" s="11"/>
      <c r="G22" s="11"/>
    </row>
    <row r="23" spans="1:7" x14ac:dyDescent="0.25">
      <c r="A23" s="15"/>
      <c r="B23" s="11"/>
      <c r="C23" s="11"/>
      <c r="D23" s="11"/>
      <c r="E23" s="11"/>
      <c r="F23" s="11"/>
      <c r="G23" s="11"/>
    </row>
    <row r="24" spans="1:7" x14ac:dyDescent="0.25">
      <c r="A24" s="15"/>
      <c r="B24" s="11"/>
      <c r="C24" s="11"/>
      <c r="D24" s="11"/>
      <c r="E24" s="11"/>
      <c r="F24" s="11"/>
      <c r="G24" s="11"/>
    </row>
    <row r="25" spans="1:7" x14ac:dyDescent="0.25">
      <c r="A25" s="15"/>
      <c r="B25" s="11"/>
      <c r="C25" s="11"/>
      <c r="D25" s="11"/>
      <c r="E25" s="11"/>
      <c r="F25" s="11"/>
      <c r="G25" s="11"/>
    </row>
    <row r="26" spans="1:7" x14ac:dyDescent="0.25">
      <c r="A26" s="15"/>
      <c r="B26" s="11"/>
      <c r="C26" s="11"/>
      <c r="D26" s="11"/>
      <c r="E26" s="11"/>
      <c r="F26" s="11"/>
      <c r="G26" s="11"/>
    </row>
    <row r="27" spans="1:7" x14ac:dyDescent="0.25">
      <c r="A27" s="15"/>
      <c r="B27" s="11"/>
      <c r="C27" s="11"/>
      <c r="D27" s="11"/>
      <c r="E27" s="11"/>
      <c r="F27" s="11"/>
      <c r="G27" s="11"/>
    </row>
    <row r="28" spans="1:7" x14ac:dyDescent="0.25">
      <c r="A28" s="15"/>
      <c r="B28" s="11"/>
      <c r="C28" s="11"/>
      <c r="D28" s="11"/>
      <c r="E28" s="11"/>
      <c r="F28" s="11"/>
      <c r="G28" s="11"/>
    </row>
    <row r="29" spans="1:7" x14ac:dyDescent="0.25">
      <c r="A29" s="15"/>
      <c r="B29" s="11"/>
      <c r="C29" s="11"/>
      <c r="D29" s="11"/>
      <c r="E29" s="11"/>
      <c r="F29" s="11"/>
      <c r="G29" s="11"/>
    </row>
    <row r="30" spans="1:7" x14ac:dyDescent="0.25">
      <c r="A30" s="15"/>
      <c r="B30" s="11"/>
      <c r="C30" s="11"/>
      <c r="D30" s="11"/>
      <c r="E30" s="11"/>
      <c r="F30" s="11"/>
      <c r="G30" s="11"/>
    </row>
    <row r="31" spans="1:7" x14ac:dyDescent="0.25">
      <c r="A31" s="15"/>
      <c r="B31" s="11"/>
      <c r="C31" s="11"/>
      <c r="D31" s="11"/>
      <c r="E31" s="11"/>
      <c r="F31" s="11"/>
      <c r="G31" s="11"/>
    </row>
    <row r="32" spans="1:7" x14ac:dyDescent="0.25">
      <c r="A32" s="15"/>
      <c r="B32" s="11"/>
      <c r="C32" s="11"/>
      <c r="D32" s="11"/>
      <c r="E32" s="11"/>
      <c r="F32" s="11"/>
      <c r="G32" s="11"/>
    </row>
    <row r="33" spans="1:7" x14ac:dyDescent="0.25">
      <c r="A33" s="15"/>
      <c r="B33" s="11"/>
      <c r="C33" s="11"/>
      <c r="D33" s="11"/>
      <c r="E33" s="11"/>
      <c r="F33" s="11"/>
      <c r="G33" s="11"/>
    </row>
    <row r="34" spans="1:7" x14ac:dyDescent="0.25">
      <c r="A34" s="15"/>
      <c r="B34" s="11"/>
      <c r="C34" s="11"/>
      <c r="D34" s="11"/>
      <c r="E34" s="11"/>
      <c r="F34" s="11"/>
      <c r="G34" s="11"/>
    </row>
    <row r="35" spans="1:7" x14ac:dyDescent="0.25">
      <c r="A35" s="15"/>
      <c r="B35" s="11"/>
      <c r="C35" s="11"/>
      <c r="D35" s="11"/>
      <c r="E35" s="11"/>
      <c r="F35" s="11"/>
      <c r="G35" s="11"/>
    </row>
    <row r="36" spans="1:7" x14ac:dyDescent="0.25">
      <c r="A36" s="15"/>
      <c r="B36" s="11"/>
      <c r="C36" s="11"/>
      <c r="D36" s="11"/>
      <c r="E36" s="11"/>
      <c r="F36" s="11"/>
      <c r="G36" s="11"/>
    </row>
    <row r="37" spans="1:7" x14ac:dyDescent="0.25">
      <c r="A37" s="15"/>
      <c r="B37" s="11"/>
      <c r="C37" s="11"/>
      <c r="D37" s="11"/>
      <c r="E37" s="11"/>
      <c r="F37" s="11"/>
      <c r="G37" s="11"/>
    </row>
    <row r="38" spans="1:7" x14ac:dyDescent="0.25">
      <c r="A38" s="15"/>
      <c r="B38" s="11"/>
      <c r="C38" s="11"/>
      <c r="D38" s="11"/>
      <c r="E38" s="11"/>
      <c r="F38" s="11"/>
      <c r="G38" s="11"/>
    </row>
    <row r="39" spans="1:7" x14ac:dyDescent="0.25">
      <c r="A39" s="15"/>
      <c r="B39" s="11"/>
      <c r="C39" s="11"/>
      <c r="D39" s="11"/>
      <c r="E39" s="11"/>
      <c r="F39" s="11"/>
      <c r="G39" s="11"/>
    </row>
    <row r="40" spans="1:7" x14ac:dyDescent="0.25">
      <c r="A40" s="15"/>
      <c r="B40" s="11"/>
      <c r="C40" s="11"/>
      <c r="D40" s="11"/>
      <c r="E40" s="11"/>
      <c r="F40" s="11"/>
      <c r="G40" s="11"/>
    </row>
    <row r="41" spans="1:7" x14ac:dyDescent="0.25">
      <c r="A41" s="15"/>
      <c r="B41" s="11"/>
      <c r="C41" s="11"/>
      <c r="D41" s="11"/>
      <c r="E41" s="11"/>
      <c r="F41" s="11"/>
      <c r="G41" s="11"/>
    </row>
    <row r="42" spans="1:7" x14ac:dyDescent="0.25">
      <c r="A42" s="15"/>
      <c r="B42" s="11"/>
      <c r="C42" s="11"/>
      <c r="D42" s="11"/>
      <c r="E42" s="11"/>
      <c r="F42" s="11"/>
      <c r="G42" s="11"/>
    </row>
    <row r="43" spans="1:7" x14ac:dyDescent="0.25">
      <c r="A43" s="15"/>
      <c r="B43" s="11"/>
      <c r="C43" s="11"/>
      <c r="D43" s="11"/>
      <c r="E43" s="11"/>
      <c r="F43" s="11"/>
      <c r="G43" s="11"/>
    </row>
    <row r="44" spans="1:7" x14ac:dyDescent="0.25">
      <c r="A44" s="15"/>
      <c r="B44" s="11"/>
      <c r="C44" s="11"/>
      <c r="D44" s="11"/>
      <c r="E44" s="11"/>
      <c r="F44" s="11"/>
      <c r="G44" s="11"/>
    </row>
    <row r="46" spans="3:6" x14ac:dyDescent="0.25">
      <c r="C46" s="6" t="s">
        <v>73</v>
      </c>
      <c r="D46" s="2">
        <f>SUM(D5:D44)</f>
      </c>
      <c r="F46" s="2">
        <f>SUM(F5:F44)</f>
      </c>
    </row>
    <row r="47" spans="3:4" x14ac:dyDescent="0.25">
      <c r="C47" s="6" t="s">
        <v>74</v>
      </c>
      <c r="D47" s="16">
        <f>IF(D46+F46=0,"",D46/(D46+F46))</f>
      </c>
    </row>
  </sheetData>
  <pageMargins left="0.5" right="0.5" top="0.6" bottom="0.6" header="0.3" footer="0.3"/>
  <pageSetup paperSize="9" orientation="landscape" fitToWidth="1" fitToHeight="0"/>
  <headerFooter>
    <oddFooter>&amp;L&amp;8Free template from exemptaccommodation.com&amp;R&amp;8Page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How to use</vt:lpstr>
      <vt:lpstr>Schedule</vt:lpstr>
      <vt:lpstr>Reconciliation</vt:lpstr>
      <vt:lpstr>IHM time record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ExemptAccommodation.com</dc:creator>
  <dc:title/>
  <dc:subject/>
  <dc:description/>
  <cp:keywords/>
  <cp:category/>
  <cp:lastModifiedBy>Unknown</cp:lastModifiedBy>
  <dcterms:created xsi:type="dcterms:W3CDTF">2026-10-19T07:45:02Z</dcterms:created>
  <dcterms:modified xsi:type="dcterms:W3CDTF">2026-10-19T07:45:02Z</dcterms:modified>
</cp:coreProperties>
</file>