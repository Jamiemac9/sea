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Checklist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<sst xmlns="http://schemas.openxmlformats.org/spreadsheetml/2006/main" count="261" uniqueCount="92">
  <si>
    <t>Licensing readiness checklist</t>
  </si>
  <si>
    <t>1. Work through the Checklist sheet for your service, or copy the sheet once per scheme.</t>
  </si>
  <si>
    <t>2. Set the status of each item: Yes, Partly, No or Not sure. Treat Not sure as a gap, because a reviewer will.</t>
  </si>
  <si>
    <t>3. For every Yes, write where the evidence is kept. A yes with no evidence is a partly.</t>
  </si>
  <si>
    <t>4. Give every gap an owner and a due date. Start with anything that affects resident safety.</t>
  </si>
  <si>
    <t>5. The Summary sheet scores each area out of 100. Repeat the check every six months.</t>
  </si>
  <si>
    <t>The items follow what councils test in Housing Benefit reviews and what the April 2026 government response says licensing will test from 2027.</t>
  </si>
  <si>
    <t>Free template from exemptaccommodation.com. Guidance covers England and is general information, not legal advice.</t>
  </si>
  <si>
    <t>Status: Yes, Partly, No or Not sure. Every gap needs an owner and a date.</t>
  </si>
  <si>
    <t>Area</t>
  </si>
  <si>
    <t>Ref</t>
  </si>
  <si>
    <t>Item</t>
  </si>
  <si>
    <t>Status</t>
  </si>
  <si>
    <t>Where the evidence is</t>
  </si>
  <si>
    <t>Owner</t>
  </si>
  <si>
    <t>Due date</t>
  </si>
  <si>
    <t>Notes</t>
  </si>
  <si>
    <t>Structure and eligibility</t>
  </si>
  <si>
    <t>S1</t>
  </si>
  <si>
    <t>For every scheme, can you show the landlord's legal status, such as a registered provider number, charity number, or constitution and accounts?</t>
  </si>
  <si>
    <t/>
  </si>
  <si>
    <t>S2</t>
  </si>
  <si>
    <t>Where another organisation delivers support, is there a written agreement showing it acts on the landlord's behalf?</t>
  </si>
  <si>
    <t>S3</t>
  </si>
  <si>
    <t>Could you show a council, for any resident you pick, that their support is more than minimal?</t>
  </si>
  <si>
    <t>Needs assessment and planning</t>
  </si>
  <si>
    <t>P1</t>
  </si>
  <si>
    <t>Does every resident have a needs assessment completed on arrival or within four weeks?</t>
  </si>
  <si>
    <t>P2</t>
  </si>
  <si>
    <t>Does every resident have a support plan with goals in their own words?</t>
  </si>
  <si>
    <t>P3</t>
  </si>
  <si>
    <t>Are support plans reviewed at least every three months, and after significant changes?</t>
  </si>
  <si>
    <t>Support delivery and records</t>
  </si>
  <si>
    <t>D1</t>
  </si>
  <si>
    <t>Do support records show the date, time, length and what was done, linked to the support plan?</t>
  </si>
  <si>
    <t>D2</t>
  </si>
  <si>
    <t>Are records written on the day, by the person who delivered the support?</t>
  </si>
  <si>
    <t>D3</t>
  </si>
  <si>
    <t>Do managers check a sample of records every month?</t>
  </si>
  <si>
    <t>Safeguarding and risk</t>
  </si>
  <si>
    <t>G1</t>
  </si>
  <si>
    <t>Is there a safeguarding policy with a named lead, and have all staff been trained on it in the last 12 months?</t>
  </si>
  <si>
    <t>G2</t>
  </si>
  <si>
    <t>Is every safeguarding concern and incident logged, with who was told and what happened next?</t>
  </si>
  <si>
    <t>G3</t>
  </si>
  <si>
    <t>Do you get and record risk information before accepting a referral?</t>
  </si>
  <si>
    <t>Property and safety</t>
  </si>
  <si>
    <t>H1</t>
  </si>
  <si>
    <t>Are gas safety records, electrical inspections and fire risk assessments in date for every property?</t>
  </si>
  <si>
    <t>H2</t>
  </si>
  <si>
    <t>Does every shared property that needs an HMO licence have one?</t>
  </si>
  <si>
    <t>H3</t>
  </si>
  <si>
    <t>Are repairs logged with the date reported and the date completed?</t>
  </si>
  <si>
    <t>Rent and service charges</t>
  </si>
  <si>
    <t>R1</t>
  </si>
  <si>
    <t>Does each scheme have a line-by-line rent and service charge breakdown?</t>
  </si>
  <si>
    <t>R2</t>
  </si>
  <si>
    <t>Are support costs kept out of the rent, with intensive housing management backed by time records?</t>
  </si>
  <si>
    <t>R3</t>
  </si>
  <si>
    <t>Do you reconcile service charges against actual spending each year?</t>
  </si>
  <si>
    <t>Governance and staffing</t>
  </si>
  <si>
    <t>V1</t>
  </si>
  <si>
    <t>Could your directors and board pass a fit and proper person test of the kind used by the CQC and Ofsted?</t>
  </si>
  <si>
    <t>V2</t>
  </si>
  <si>
    <t>Do you check and record service managers' character, capacity, experience and skills?</t>
  </si>
  <si>
    <t>V3</t>
  </si>
  <si>
    <t>Are staff recruited safely, with references and DBS checks where eligible, then trained and supervised?</t>
  </si>
  <si>
    <t>Resident voice and outcomes</t>
  </si>
  <si>
    <t>O1</t>
  </si>
  <si>
    <t>Do residents have a clear complaints process, explained when they move in?</t>
  </si>
  <si>
    <t>O2</t>
  </si>
  <si>
    <t>Do residents have a say in how the service runs, with a record of what changed as a result?</t>
  </si>
  <si>
    <t>O3</t>
  </si>
  <si>
    <t>Do you record where people move on to and whether the move was planned?</t>
  </si>
  <si>
    <t>Licensing preparation</t>
  </si>
  <si>
    <t>L1</t>
  </si>
  <si>
    <t>Have you listed every scheme with its address, landlord, support provider, bed spaces and commissioning status?</t>
  </si>
  <si>
    <t>L2</t>
  </si>
  <si>
    <t>Have you checked each scheme against the licensing exemptions and written down your reasoning?</t>
  </si>
  <si>
    <t>L3</t>
  </si>
  <si>
    <t>Have you mapped your service against the proposed national supported housing standards?</t>
  </si>
  <si>
    <t>L4</t>
  </si>
  <si>
    <t>Have you contacted your council's supported housing team about its strategy and licensing plans?</t>
  </si>
  <si>
    <t>Readiness summary</t>
  </si>
  <si>
    <t>Score = (2 for each Yes + 1 for each Partly) divided by twice the number of items.</t>
  </si>
  <si>
    <t>Yes</t>
  </si>
  <si>
    <t>Partly</t>
  </si>
  <si>
    <t>No</t>
  </si>
  <si>
    <t>Not sure</t>
  </si>
  <si>
    <t>Items</t>
  </si>
  <si>
    <t>Score /100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</si>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</sst>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14304F"/>
      <sz val="16"/>
    </font>
    <font>
      <i/>
      <color rgb="FF5B6B80"/>
    </font>
    <font>
      <b/>
      <color rgb="FFFFFFFF"/>
    </font>
    <font>
      <b/>
      <color rgb="FF0E7A76"/>
    </font>
  </fonts>
  <fills count="3">
    <fill>
      <patternFill patternType="none"/>
    </fill>
    <fill>
      <patternFill patternType="gray125"/>
    </fill>
    <fill>
      <patternFill patternType="solid">
        <fgColor rgb="FF14304F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D7F2E6"/>
        </patternFill>
      </fill>
    </dxf>
    <dxf>
      <fill>
        <patternFill patternType="solid">
          <bgColor rgb="FFFBF0D9"/>
        </patternFill>
      </fill>
    </dxf>
    <dxf>
      <fill>
        <patternFill patternType="solid">
          <bgColor rgb="FFFDE1DB"/>
        </patternFill>
      </fill>
    </dxf>
    <dxf>
      <fill>
        <patternFill patternType="solid">
          <bgColor rgb="FFFDE1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9994"/>
    <pageSetUpPr fitToPage="1"/>
  </sheetPr>
  <dimension ref="A1:A11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11" spans="1:1" x14ac:dyDescent="0.25">
      <c r="A11" s="3" t="s">
        <v>7</v>
      </c>
    </row>
  </sheetData>
  <pageMargins left="0.5" right="0.5" top="0.6" bottom="0.6" header="0.3" footer="0.3"/>
  <pageSetup paperSize="9" orientation="landscape" fitToWidth="1" fitToHeight="0"/>
  <headerFooter>
    <oddFooter>&amp;L&amp;8Free template from exemptaccommodation.com&amp;R&amp;8Page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7" customWidth="1"/>
    <col min="3" max="3" width="70" customWidth="1"/>
    <col min="4" max="4" width="13" customWidth="1"/>
    <col min="5" max="5" width="34" customWidth="1"/>
    <col min="6" max="6" width="18" customWidth="1"/>
    <col min="7" max="7" width="13" customWidth="1"/>
    <col min="8" max="8" width="34" customWidth="1"/>
  </cols>
  <sheetData>
    <row r="1" spans="1:1" x14ac:dyDescent="0.25">
      <c r="A1" s="4" t="s">
        <v>0</v>
      </c>
    </row>
    <row r="2" spans="1:1" x14ac:dyDescent="0.25">
      <c r="A2" s="5" t="s">
        <v>8</v>
      </c>
    </row>
    <row r="4" ht="32" customHeight="1" spans="1:8" x14ac:dyDescent="0.25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</row>
    <row r="5" ht="34" customHeight="1" spans="1:8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20</v>
      </c>
      <c r="F5" s="7" t="s">
        <v>20</v>
      </c>
      <c r="G5" s="8" t="s">
        <v>20</v>
      </c>
      <c r="H5" s="7" t="s">
        <v>20</v>
      </c>
    </row>
    <row r="6" ht="34" customHeight="1" spans="1:8" x14ac:dyDescent="0.25">
      <c r="A6" s="7" t="s">
        <v>17</v>
      </c>
      <c r="B6" s="7" t="s">
        <v>21</v>
      </c>
      <c r="C6" s="7" t="s">
        <v>22</v>
      </c>
      <c r="D6" s="7" t="s">
        <v>20</v>
      </c>
      <c r="E6" s="7" t="s">
        <v>20</v>
      </c>
      <c r="F6" s="7" t="s">
        <v>20</v>
      </c>
      <c r="G6" s="8" t="s">
        <v>20</v>
      </c>
      <c r="H6" s="7" t="s">
        <v>20</v>
      </c>
    </row>
    <row r="7" ht="34" customHeight="1" spans="1:8" x14ac:dyDescent="0.25">
      <c r="A7" s="7" t="s">
        <v>17</v>
      </c>
      <c r="B7" s="7" t="s">
        <v>23</v>
      </c>
      <c r="C7" s="7" t="s">
        <v>24</v>
      </c>
      <c r="D7" s="7" t="s">
        <v>20</v>
      </c>
      <c r="E7" s="7" t="s">
        <v>20</v>
      </c>
      <c r="F7" s="7" t="s">
        <v>20</v>
      </c>
      <c r="G7" s="8" t="s">
        <v>20</v>
      </c>
      <c r="H7" s="7" t="s">
        <v>20</v>
      </c>
    </row>
    <row r="8" ht="34" customHeight="1" spans="1:8" x14ac:dyDescent="0.25">
      <c r="A8" s="7" t="s">
        <v>25</v>
      </c>
      <c r="B8" s="7" t="s">
        <v>26</v>
      </c>
      <c r="C8" s="7" t="s">
        <v>27</v>
      </c>
      <c r="D8" s="7" t="s">
        <v>20</v>
      </c>
      <c r="E8" s="7" t="s">
        <v>20</v>
      </c>
      <c r="F8" s="7" t="s">
        <v>20</v>
      </c>
      <c r="G8" s="8" t="s">
        <v>20</v>
      </c>
      <c r="H8" s="7" t="s">
        <v>20</v>
      </c>
    </row>
    <row r="9" ht="34" customHeight="1" spans="1:8" x14ac:dyDescent="0.25">
      <c r="A9" s="7" t="s">
        <v>25</v>
      </c>
      <c r="B9" s="7" t="s">
        <v>28</v>
      </c>
      <c r="C9" s="7" t="s">
        <v>29</v>
      </c>
      <c r="D9" s="7" t="s">
        <v>20</v>
      </c>
      <c r="E9" s="7" t="s">
        <v>20</v>
      </c>
      <c r="F9" s="7" t="s">
        <v>20</v>
      </c>
      <c r="G9" s="8" t="s">
        <v>20</v>
      </c>
      <c r="H9" s="7" t="s">
        <v>20</v>
      </c>
    </row>
    <row r="10" ht="34" customHeight="1" spans="1:8" x14ac:dyDescent="0.25">
      <c r="A10" s="7" t="s">
        <v>25</v>
      </c>
      <c r="B10" s="7" t="s">
        <v>30</v>
      </c>
      <c r="C10" s="7" t="s">
        <v>31</v>
      </c>
      <c r="D10" s="7" t="s">
        <v>20</v>
      </c>
      <c r="E10" s="7" t="s">
        <v>20</v>
      </c>
      <c r="F10" s="7" t="s">
        <v>20</v>
      </c>
      <c r="G10" s="8" t="s">
        <v>20</v>
      </c>
      <c r="H10" s="7" t="s">
        <v>20</v>
      </c>
    </row>
    <row r="11" ht="34" customHeight="1" spans="1:8" x14ac:dyDescent="0.25">
      <c r="A11" s="7" t="s">
        <v>32</v>
      </c>
      <c r="B11" s="7" t="s">
        <v>33</v>
      </c>
      <c r="C11" s="7" t="s">
        <v>34</v>
      </c>
      <c r="D11" s="7" t="s">
        <v>20</v>
      </c>
      <c r="E11" s="7" t="s">
        <v>20</v>
      </c>
      <c r="F11" s="7" t="s">
        <v>20</v>
      </c>
      <c r="G11" s="8" t="s">
        <v>20</v>
      </c>
      <c r="H11" s="7" t="s">
        <v>20</v>
      </c>
    </row>
    <row r="12" ht="34" customHeight="1" spans="1:8" x14ac:dyDescent="0.25">
      <c r="A12" s="7" t="s">
        <v>32</v>
      </c>
      <c r="B12" s="7" t="s">
        <v>35</v>
      </c>
      <c r="C12" s="7" t="s">
        <v>36</v>
      </c>
      <c r="D12" s="7" t="s">
        <v>20</v>
      </c>
      <c r="E12" s="7" t="s">
        <v>20</v>
      </c>
      <c r="F12" s="7" t="s">
        <v>20</v>
      </c>
      <c r="G12" s="8" t="s">
        <v>20</v>
      </c>
      <c r="H12" s="7" t="s">
        <v>20</v>
      </c>
    </row>
    <row r="13" ht="34" customHeight="1" spans="1:8" x14ac:dyDescent="0.25">
      <c r="A13" s="7" t="s">
        <v>32</v>
      </c>
      <c r="B13" s="7" t="s">
        <v>37</v>
      </c>
      <c r="C13" s="7" t="s">
        <v>38</v>
      </c>
      <c r="D13" s="7" t="s">
        <v>20</v>
      </c>
      <c r="E13" s="7" t="s">
        <v>20</v>
      </c>
      <c r="F13" s="7" t="s">
        <v>20</v>
      </c>
      <c r="G13" s="8" t="s">
        <v>20</v>
      </c>
      <c r="H13" s="7" t="s">
        <v>20</v>
      </c>
    </row>
    <row r="14" ht="34" customHeight="1" spans="1:8" x14ac:dyDescent="0.25">
      <c r="A14" s="7" t="s">
        <v>39</v>
      </c>
      <c r="B14" s="7" t="s">
        <v>40</v>
      </c>
      <c r="C14" s="7" t="s">
        <v>41</v>
      </c>
      <c r="D14" s="7" t="s">
        <v>20</v>
      </c>
      <c r="E14" s="7" t="s">
        <v>20</v>
      </c>
      <c r="F14" s="7" t="s">
        <v>20</v>
      </c>
      <c r="G14" s="8" t="s">
        <v>20</v>
      </c>
      <c r="H14" s="7" t="s">
        <v>20</v>
      </c>
    </row>
    <row r="15" ht="34" customHeight="1" spans="1:8" x14ac:dyDescent="0.25">
      <c r="A15" s="7" t="s">
        <v>39</v>
      </c>
      <c r="B15" s="7" t="s">
        <v>42</v>
      </c>
      <c r="C15" s="7" t="s">
        <v>43</v>
      </c>
      <c r="D15" s="7" t="s">
        <v>20</v>
      </c>
      <c r="E15" s="7" t="s">
        <v>20</v>
      </c>
      <c r="F15" s="7" t="s">
        <v>20</v>
      </c>
      <c r="G15" s="8" t="s">
        <v>20</v>
      </c>
      <c r="H15" s="7" t="s">
        <v>20</v>
      </c>
    </row>
    <row r="16" ht="34" customHeight="1" spans="1:8" x14ac:dyDescent="0.25">
      <c r="A16" s="7" t="s">
        <v>39</v>
      </c>
      <c r="B16" s="7" t="s">
        <v>44</v>
      </c>
      <c r="C16" s="7" t="s">
        <v>45</v>
      </c>
      <c r="D16" s="7" t="s">
        <v>20</v>
      </c>
      <c r="E16" s="7" t="s">
        <v>20</v>
      </c>
      <c r="F16" s="7" t="s">
        <v>20</v>
      </c>
      <c r="G16" s="8" t="s">
        <v>20</v>
      </c>
      <c r="H16" s="7" t="s">
        <v>20</v>
      </c>
    </row>
    <row r="17" ht="34" customHeight="1" spans="1:8" x14ac:dyDescent="0.25">
      <c r="A17" s="7" t="s">
        <v>46</v>
      </c>
      <c r="B17" s="7" t="s">
        <v>47</v>
      </c>
      <c r="C17" s="7" t="s">
        <v>48</v>
      </c>
      <c r="D17" s="7" t="s">
        <v>20</v>
      </c>
      <c r="E17" s="7" t="s">
        <v>20</v>
      </c>
      <c r="F17" s="7" t="s">
        <v>20</v>
      </c>
      <c r="G17" s="8" t="s">
        <v>20</v>
      </c>
      <c r="H17" s="7" t="s">
        <v>20</v>
      </c>
    </row>
    <row r="18" ht="34" customHeight="1" spans="1:8" x14ac:dyDescent="0.25">
      <c r="A18" s="7" t="s">
        <v>46</v>
      </c>
      <c r="B18" s="7" t="s">
        <v>49</v>
      </c>
      <c r="C18" s="7" t="s">
        <v>50</v>
      </c>
      <c r="D18" s="7" t="s">
        <v>20</v>
      </c>
      <c r="E18" s="7" t="s">
        <v>20</v>
      </c>
      <c r="F18" s="7" t="s">
        <v>20</v>
      </c>
      <c r="G18" s="8" t="s">
        <v>20</v>
      </c>
      <c r="H18" s="7" t="s">
        <v>20</v>
      </c>
    </row>
    <row r="19" ht="34" customHeight="1" spans="1:8" x14ac:dyDescent="0.25">
      <c r="A19" s="7" t="s">
        <v>46</v>
      </c>
      <c r="B19" s="7" t="s">
        <v>51</v>
      </c>
      <c r="C19" s="7" t="s">
        <v>52</v>
      </c>
      <c r="D19" s="7" t="s">
        <v>20</v>
      </c>
      <c r="E19" s="7" t="s">
        <v>20</v>
      </c>
      <c r="F19" s="7" t="s">
        <v>20</v>
      </c>
      <c r="G19" s="8" t="s">
        <v>20</v>
      </c>
      <c r="H19" s="7" t="s">
        <v>20</v>
      </c>
    </row>
    <row r="20" ht="34" customHeight="1" spans="1:8" x14ac:dyDescent="0.25">
      <c r="A20" s="7" t="s">
        <v>53</v>
      </c>
      <c r="B20" s="7" t="s">
        <v>54</v>
      </c>
      <c r="C20" s="7" t="s">
        <v>55</v>
      </c>
      <c r="D20" s="7" t="s">
        <v>20</v>
      </c>
      <c r="E20" s="7" t="s">
        <v>20</v>
      </c>
      <c r="F20" s="7" t="s">
        <v>20</v>
      </c>
      <c r="G20" s="8" t="s">
        <v>20</v>
      </c>
      <c r="H20" s="7" t="s">
        <v>20</v>
      </c>
    </row>
    <row r="21" ht="34" customHeight="1" spans="1:8" x14ac:dyDescent="0.25">
      <c r="A21" s="7" t="s">
        <v>53</v>
      </c>
      <c r="B21" s="7" t="s">
        <v>56</v>
      </c>
      <c r="C21" s="7" t="s">
        <v>57</v>
      </c>
      <c r="D21" s="7" t="s">
        <v>20</v>
      </c>
      <c r="E21" s="7" t="s">
        <v>20</v>
      </c>
      <c r="F21" s="7" t="s">
        <v>20</v>
      </c>
      <c r="G21" s="8" t="s">
        <v>20</v>
      </c>
      <c r="H21" s="7" t="s">
        <v>20</v>
      </c>
    </row>
    <row r="22" ht="34" customHeight="1" spans="1:8" x14ac:dyDescent="0.25">
      <c r="A22" s="7" t="s">
        <v>53</v>
      </c>
      <c r="B22" s="7" t="s">
        <v>58</v>
      </c>
      <c r="C22" s="7" t="s">
        <v>59</v>
      </c>
      <c r="D22" s="7" t="s">
        <v>20</v>
      </c>
      <c r="E22" s="7" t="s">
        <v>20</v>
      </c>
      <c r="F22" s="7" t="s">
        <v>20</v>
      </c>
      <c r="G22" s="8" t="s">
        <v>20</v>
      </c>
      <c r="H22" s="7" t="s">
        <v>20</v>
      </c>
    </row>
    <row r="23" ht="34" customHeight="1" spans="1:8" x14ac:dyDescent="0.25">
      <c r="A23" s="7" t="s">
        <v>60</v>
      </c>
      <c r="B23" s="7" t="s">
        <v>61</v>
      </c>
      <c r="C23" s="7" t="s">
        <v>62</v>
      </c>
      <c r="D23" s="7" t="s">
        <v>20</v>
      </c>
      <c r="E23" s="7" t="s">
        <v>20</v>
      </c>
      <c r="F23" s="7" t="s">
        <v>20</v>
      </c>
      <c r="G23" s="8" t="s">
        <v>20</v>
      </c>
      <c r="H23" s="7" t="s">
        <v>20</v>
      </c>
    </row>
    <row r="24" ht="34" customHeight="1" spans="1:8" x14ac:dyDescent="0.25">
      <c r="A24" s="7" t="s">
        <v>60</v>
      </c>
      <c r="B24" s="7" t="s">
        <v>63</v>
      </c>
      <c r="C24" s="7" t="s">
        <v>64</v>
      </c>
      <c r="D24" s="7" t="s">
        <v>20</v>
      </c>
      <c r="E24" s="7" t="s">
        <v>20</v>
      </c>
      <c r="F24" s="7" t="s">
        <v>20</v>
      </c>
      <c r="G24" s="8" t="s">
        <v>20</v>
      </c>
      <c r="H24" s="7" t="s">
        <v>20</v>
      </c>
    </row>
    <row r="25" ht="34" customHeight="1" spans="1:8" x14ac:dyDescent="0.25">
      <c r="A25" s="7" t="s">
        <v>60</v>
      </c>
      <c r="B25" s="7" t="s">
        <v>65</v>
      </c>
      <c r="C25" s="7" t="s">
        <v>66</v>
      </c>
      <c r="D25" s="7" t="s">
        <v>20</v>
      </c>
      <c r="E25" s="7" t="s">
        <v>20</v>
      </c>
      <c r="F25" s="7" t="s">
        <v>20</v>
      </c>
      <c r="G25" s="8" t="s">
        <v>20</v>
      </c>
      <c r="H25" s="7" t="s">
        <v>20</v>
      </c>
    </row>
    <row r="26" ht="34" customHeight="1" spans="1:8" x14ac:dyDescent="0.25">
      <c r="A26" s="7" t="s">
        <v>67</v>
      </c>
      <c r="B26" s="7" t="s">
        <v>68</v>
      </c>
      <c r="C26" s="7" t="s">
        <v>69</v>
      </c>
      <c r="D26" s="7" t="s">
        <v>20</v>
      </c>
      <c r="E26" s="7" t="s">
        <v>20</v>
      </c>
      <c r="F26" s="7" t="s">
        <v>20</v>
      </c>
      <c r="G26" s="8" t="s">
        <v>20</v>
      </c>
      <c r="H26" s="7" t="s">
        <v>20</v>
      </c>
    </row>
    <row r="27" ht="34" customHeight="1" spans="1:8" x14ac:dyDescent="0.25">
      <c r="A27" s="7" t="s">
        <v>67</v>
      </c>
      <c r="B27" s="7" t="s">
        <v>70</v>
      </c>
      <c r="C27" s="7" t="s">
        <v>71</v>
      </c>
      <c r="D27" s="7" t="s">
        <v>20</v>
      </c>
      <c r="E27" s="7" t="s">
        <v>20</v>
      </c>
      <c r="F27" s="7" t="s">
        <v>20</v>
      </c>
      <c r="G27" s="8" t="s">
        <v>20</v>
      </c>
      <c r="H27" s="7" t="s">
        <v>20</v>
      </c>
    </row>
    <row r="28" ht="34" customHeight="1" spans="1:8" x14ac:dyDescent="0.25">
      <c r="A28" s="7" t="s">
        <v>67</v>
      </c>
      <c r="B28" s="7" t="s">
        <v>72</v>
      </c>
      <c r="C28" s="7" t="s">
        <v>73</v>
      </c>
      <c r="D28" s="7" t="s">
        <v>20</v>
      </c>
      <c r="E28" s="7" t="s">
        <v>20</v>
      </c>
      <c r="F28" s="7" t="s">
        <v>20</v>
      </c>
      <c r="G28" s="8" t="s">
        <v>20</v>
      </c>
      <c r="H28" s="7" t="s">
        <v>20</v>
      </c>
    </row>
    <row r="29" ht="34" customHeight="1" spans="1:8" x14ac:dyDescent="0.25">
      <c r="A29" s="7" t="s">
        <v>74</v>
      </c>
      <c r="B29" s="7" t="s">
        <v>75</v>
      </c>
      <c r="C29" s="7" t="s">
        <v>76</v>
      </c>
      <c r="D29" s="7" t="s">
        <v>20</v>
      </c>
      <c r="E29" s="7" t="s">
        <v>20</v>
      </c>
      <c r="F29" s="7" t="s">
        <v>20</v>
      </c>
      <c r="G29" s="8" t="s">
        <v>20</v>
      </c>
      <c r="H29" s="7" t="s">
        <v>20</v>
      </c>
    </row>
    <row r="30" ht="34" customHeight="1" spans="1:8" x14ac:dyDescent="0.25">
      <c r="A30" s="7" t="s">
        <v>74</v>
      </c>
      <c r="B30" s="7" t="s">
        <v>77</v>
      </c>
      <c r="C30" s="7" t="s">
        <v>78</v>
      </c>
      <c r="D30" s="7" t="s">
        <v>20</v>
      </c>
      <c r="E30" s="7" t="s">
        <v>20</v>
      </c>
      <c r="F30" s="7" t="s">
        <v>20</v>
      </c>
      <c r="G30" s="8" t="s">
        <v>20</v>
      </c>
      <c r="H30" s="7" t="s">
        <v>20</v>
      </c>
    </row>
    <row r="31" ht="34" customHeight="1" spans="1:8" x14ac:dyDescent="0.25">
      <c r="A31" s="7" t="s">
        <v>74</v>
      </c>
      <c r="B31" s="7" t="s">
        <v>79</v>
      </c>
      <c r="C31" s="7" t="s">
        <v>80</v>
      </c>
      <c r="D31" s="7" t="s">
        <v>20</v>
      </c>
      <c r="E31" s="7" t="s">
        <v>20</v>
      </c>
      <c r="F31" s="7" t="s">
        <v>20</v>
      </c>
      <c r="G31" s="8" t="s">
        <v>20</v>
      </c>
      <c r="H31" s="7" t="s">
        <v>20</v>
      </c>
    </row>
    <row r="32" ht="34" customHeight="1" spans="1:8" x14ac:dyDescent="0.25">
      <c r="A32" s="7" t="s">
        <v>74</v>
      </c>
      <c r="B32" s="7" t="s">
        <v>81</v>
      </c>
      <c r="C32" s="7" t="s">
        <v>82</v>
      </c>
      <c r="D32" s="7" t="s">
        <v>20</v>
      </c>
      <c r="E32" s="7" t="s">
        <v>20</v>
      </c>
      <c r="F32" s="7" t="s">
        <v>20</v>
      </c>
      <c r="G32" s="8" t="s">
        <v>20</v>
      </c>
      <c r="H32" s="7" t="s">
        <v>20</v>
      </c>
    </row>
  </sheetData>
  <conditionalFormatting sqref="D5:D32">
    <cfRule type="cellIs" dxfId="0" priority="1" operator="equal">
      <formula>"Yes"</formula>
    </cfRule>
    <cfRule type="cellIs" dxfId="1" priority="2" operator="equal">
      <formula>"Partly"</formula>
    </cfRule>
    <cfRule type="cellIs" dxfId="2" priority="3" operator="equal">
      <formula>"No"</formula>
    </cfRule>
    <cfRule type="cellIs" dxfId="3" priority="4" operator="equal">
      <formula>"Not sure"</formula>
    </cfRule>
  </conditionalFormatting>
  <dataValidations count="2">
    <dataValidation type="list" allowBlank="1" sqref="D10:D32">
      <formula1>"Yes,Partly,No,Not sure"</formula1>
    </dataValidation>
    <dataValidation type="list" allowBlank="1" sqref="D5:D32">
      <formula1>"Yes,Partly,No,Not sure"</formula1>
    </dataValidation>
  </dataValidations>
  <pageMargins left="0.5" right="0.5" top="0.6" bottom="0.6" header="0.3" footer="0.3"/>
  <pageSetup paperSize="9" orientation="landscape" fitToWidth="1" fitToHeight="0"/>
  <headerFooter>
    <oddFooter>&amp;L&amp;8Free template from exemptaccommodation.com&amp;R&amp;8Page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FormatPr defaultRowHeight="15" outlineLevelRow="0" outlineLevelCol="0" x14ac:dyDescent="55"/>
  <cols>
    <col min="1" max="1" width="32" customWidth="1"/>
    <col min="2" max="5" width="10" customWidth="1"/>
    <col min="6" max="7" width="14" customWidth="1"/>
  </cols>
  <sheetData>
    <row r="1" spans="1:1" x14ac:dyDescent="0.25">
      <c r="A1" s="4" t="s">
        <v>83</v>
      </c>
    </row>
    <row r="2" spans="1:1" x14ac:dyDescent="0.25">
      <c r="A2" s="5" t="s">
        <v>84</v>
      </c>
    </row>
    <row r="4" ht="32" customHeight="1" spans="1:7" x14ac:dyDescent="0.25">
      <c r="A4" s="6" t="s">
        <v>9</v>
      </c>
      <c r="B4" s="6" t="s">
        <v>85</v>
      </c>
      <c r="C4" s="6" t="s">
        <v>86</v>
      </c>
      <c r="D4" s="6" t="s">
        <v>87</v>
      </c>
      <c r="E4" s="6" t="s">
        <v>88</v>
      </c>
      <c r="F4" s="6" t="s">
        <v>89</v>
      </c>
      <c r="G4" s="6" t="s">
        <v>90</v>
      </c>
    </row>
    <row r="5" spans="1:7" x14ac:dyDescent="0.25">
      <c r="A5" s="7" t="s">
        <v>17</v>
      </c>
      <c r="B5" s="7">
        <f>COUNTIF(Checklist!$D$5:$D$7,"Yes")</f>
      </c>
      <c r="C5" s="7">
        <f>COUNTIF(Checklist!$D$5:$D$7,"Partly")</f>
      </c>
      <c r="D5" s="7">
        <f>COUNTIF(Checklist!$D$5:$D$7,"No")</f>
      </c>
      <c r="E5" s="7">
        <f>COUNTIF(Checklist!$D$5:$D$7,"Not sure")</f>
      </c>
      <c r="F5" s="7">
        <v>3</v>
      </c>
      <c r="G5" s="7">
        <f>ROUND((2*B5+C5)/(2*F5)*100,0)</f>
      </c>
    </row>
    <row r="6" spans="1:7" x14ac:dyDescent="0.25">
      <c r="A6" s="7" t="s">
        <v>25</v>
      </c>
      <c r="B6" s="7">
        <f>COUNTIF(Checklist!$D$8:$D$10,"Yes")</f>
      </c>
      <c r="C6" s="7">
        <f>COUNTIF(Checklist!$D$8:$D$10,"Partly")</f>
      </c>
      <c r="D6" s="7">
        <f>COUNTIF(Checklist!$D$8:$D$10,"No")</f>
      </c>
      <c r="E6" s="7">
        <f>COUNTIF(Checklist!$D$8:$D$10,"Not sure")</f>
      </c>
      <c r="F6" s="7">
        <v>3</v>
      </c>
      <c r="G6" s="7">
        <f>ROUND((2*B6+C6)/(2*F6)*100,0)</f>
      </c>
    </row>
    <row r="7" spans="1:7" x14ac:dyDescent="0.25">
      <c r="A7" s="7" t="s">
        <v>32</v>
      </c>
      <c r="B7" s="7">
        <f>COUNTIF(Checklist!$D$11:$D$13,"Yes")</f>
      </c>
      <c r="C7" s="7">
        <f>COUNTIF(Checklist!$D$11:$D$13,"Partly")</f>
      </c>
      <c r="D7" s="7">
        <f>COUNTIF(Checklist!$D$11:$D$13,"No")</f>
      </c>
      <c r="E7" s="7">
        <f>COUNTIF(Checklist!$D$11:$D$13,"Not sure")</f>
      </c>
      <c r="F7" s="7">
        <v>3</v>
      </c>
      <c r="G7" s="7">
        <f>ROUND((2*B7+C7)/(2*F7)*100,0)</f>
      </c>
    </row>
    <row r="8" spans="1:7" x14ac:dyDescent="0.25">
      <c r="A8" s="7" t="s">
        <v>39</v>
      </c>
      <c r="B8" s="7">
        <f>COUNTIF(Checklist!$D$14:$D$16,"Yes")</f>
      </c>
      <c r="C8" s="7">
        <f>COUNTIF(Checklist!$D$14:$D$16,"Partly")</f>
      </c>
      <c r="D8" s="7">
        <f>COUNTIF(Checklist!$D$14:$D$16,"No")</f>
      </c>
      <c r="E8" s="7">
        <f>COUNTIF(Checklist!$D$14:$D$16,"Not sure")</f>
      </c>
      <c r="F8" s="7">
        <v>3</v>
      </c>
      <c r="G8" s="7">
        <f>ROUND((2*B8+C8)/(2*F8)*100,0)</f>
      </c>
    </row>
    <row r="9" spans="1:7" x14ac:dyDescent="0.25">
      <c r="A9" s="7" t="s">
        <v>46</v>
      </c>
      <c r="B9" s="7">
        <f>COUNTIF(Checklist!$D$17:$D$19,"Yes")</f>
      </c>
      <c r="C9" s="7">
        <f>COUNTIF(Checklist!$D$17:$D$19,"Partly")</f>
      </c>
      <c r="D9" s="7">
        <f>COUNTIF(Checklist!$D$17:$D$19,"No")</f>
      </c>
      <c r="E9" s="7">
        <f>COUNTIF(Checklist!$D$17:$D$19,"Not sure")</f>
      </c>
      <c r="F9" s="7">
        <v>3</v>
      </c>
      <c r="G9" s="7">
        <f>ROUND((2*B9+C9)/(2*F9)*100,0)</f>
      </c>
    </row>
    <row r="10" spans="1:7" x14ac:dyDescent="0.25">
      <c r="A10" s="7" t="s">
        <v>53</v>
      </c>
      <c r="B10" s="7">
        <f>COUNTIF(Checklist!$D$20:$D$22,"Yes")</f>
      </c>
      <c r="C10" s="7">
        <f>COUNTIF(Checklist!$D$20:$D$22,"Partly")</f>
      </c>
      <c r="D10" s="7">
        <f>COUNTIF(Checklist!$D$20:$D$22,"No")</f>
      </c>
      <c r="E10" s="7">
        <f>COUNTIF(Checklist!$D$20:$D$22,"Not sure")</f>
      </c>
      <c r="F10" s="7">
        <v>3</v>
      </c>
      <c r="G10" s="7">
        <f>ROUND((2*B10+C10)/(2*F10)*100,0)</f>
      </c>
    </row>
    <row r="11" spans="1:7" x14ac:dyDescent="0.25">
      <c r="A11" s="7" t="s">
        <v>60</v>
      </c>
      <c r="B11" s="7">
        <f>COUNTIF(Checklist!$D$23:$D$25,"Yes")</f>
      </c>
      <c r="C11" s="7">
        <f>COUNTIF(Checklist!$D$23:$D$25,"Partly")</f>
      </c>
      <c r="D11" s="7">
        <f>COUNTIF(Checklist!$D$23:$D$25,"No")</f>
      </c>
      <c r="E11" s="7">
        <f>COUNTIF(Checklist!$D$23:$D$25,"Not sure")</f>
      </c>
      <c r="F11" s="7">
        <v>3</v>
      </c>
      <c r="G11" s="7">
        <f>ROUND((2*B11+C11)/(2*F11)*100,0)</f>
      </c>
    </row>
    <row r="12" spans="1:7" x14ac:dyDescent="0.25">
      <c r="A12" s="7" t="s">
        <v>67</v>
      </c>
      <c r="B12" s="7">
        <f>COUNTIF(Checklist!$D$26:$D$28,"Yes")</f>
      </c>
      <c r="C12" s="7">
        <f>COUNTIF(Checklist!$D$26:$D$28,"Partly")</f>
      </c>
      <c r="D12" s="7">
        <f>COUNTIF(Checklist!$D$26:$D$28,"No")</f>
      </c>
      <c r="E12" s="7">
        <f>COUNTIF(Checklist!$D$26:$D$28,"Not sure")</f>
      </c>
      <c r="F12" s="7">
        <v>3</v>
      </c>
      <c r="G12" s="7">
        <f>ROUND((2*B12+C12)/(2*F12)*100,0)</f>
      </c>
    </row>
    <row r="13" spans="1:7" x14ac:dyDescent="0.25">
      <c r="A13" s="7" t="s">
        <v>74</v>
      </c>
      <c r="B13" s="7">
        <f>COUNTIF(Checklist!$D$29:$D$32,"Yes")</f>
      </c>
      <c r="C13" s="7">
        <f>COUNTIF(Checklist!$D$29:$D$32,"Partly")</f>
      </c>
      <c r="D13" s="7">
        <f>COUNTIF(Checklist!$D$29:$D$32,"No")</f>
      </c>
      <c r="E13" s="7">
        <f>COUNTIF(Checklist!$D$29:$D$32,"Not sure")</f>
      </c>
      <c r="F13" s="7">
        <v>4</v>
      </c>
      <c r="G13" s="7">
        <f>ROUND((2*B13+C13)/(2*F13)*100,0)</f>
      </c>
    </row>
    <row r="15" spans="1:7" s="9" customFormat="1" x14ac:dyDescent="0.25">
      <c r="A15" s="10" t="s">
        <v>91</v>
      </c>
      <c r="B15" s="10">
        <f>SUM(B5:B13)</f>
      </c>
      <c r="C15" s="10">
        <f>SUM(C5:C13)</f>
      </c>
      <c r="D15" s="10">
        <f>SUM(D5:D13)</f>
      </c>
      <c r="E15" s="10">
        <f>SUM(E5:E13)</f>
      </c>
      <c r="F15" s="10">
        <f>SUM(F5:F13)</f>
      </c>
      <c r="G15" s="10">
        <f>ROUND((2*B15+C15)/(2*F15)*100,0)</f>
      </c>
    </row>
  </sheetData>
  <pageMargins left="0.5" right="0.5" top="0.6" bottom="0.6" header="0.3" footer="0.3"/>
  <pageSetup paperSize="9" orientation="landscape" fitToWidth="1" fitToHeight="0"/>
  <headerFooter>
    <oddFooter>&amp;L&amp;8Free template from exemptaccommodation.com&amp;R&amp;8Page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Checklist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ExemptAccommodation.com</dc:creator>
  <dc:title/>
  <dc:subject/>
  <dc:description/>
  <cp:keywords/>
  <cp:category/>
  <cp:lastModifiedBy>Unknown</cp:lastModifiedBy>
  <dcterms:created xsi:type="dcterms:W3CDTF">2026-10-19T07:45:02Z</dcterms:created>
  <dcterms:modified xsi:type="dcterms:W3CDTF">2026-10-19T07:45:02Z</dcterms:modified>
</cp:coreProperties>
</file>